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Docencia\DUOC\2025_2\CAPSTONE\Alumnos\Fase 3\"/>
    </mc:Choice>
  </mc:AlternateContent>
  <xr:revisionPtr revIDLastSave="0" documentId="13_ncr:1_{247FB8C0-8D6D-42FC-B540-1F96A37FF8AB}"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<sst xmlns="http://schemas.openxmlformats.org/spreadsheetml/2006/main" count="170" uniqueCount="100">
  <si>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</si>
  <si>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</si>
  <si>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</si>
  <si>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</si>
  <si>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</si>
  <si>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</si>
  <si>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</si>
  <si>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</si>
  <si>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</si>
  <si>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</si>
  <si>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</si>
  <si>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</si>
  <si>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</si>
  <si>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</si>
  <si>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</si>
  <si>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</si>
  <si>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</si>
  <si>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</si>
  <si>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</si>
  <si>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</si>
  <si>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</si>
  <si>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</si>
  <si>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</si>
  <si>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</si>
  <si>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</si>
  <si>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</si>
  <si>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</si>
  <si>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</si>
  <si>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</si>
  <si>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</si>
  <si>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</si>
  <si>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</si>
  <si>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</si>
  <si>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</si>
  <si>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</si>
  <si>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</si>
  <si>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</si>
  <si>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</si>
  <si>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</si>
  <si>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</si>
  <si>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</si>
  <si>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</si>
  <si>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</si>
  <si>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</si>
  <si>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</si>
  <si>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</si>
  <si>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</si>
  <si>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</si>
  <si>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</si>
  <si>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</si>
  <si>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</si>
  <si>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</si>
  <si>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</si>
  <si>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</si>
  <si>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</si>
  <si>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</si>
  <si>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</si>
  <si>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</si>
  <si>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</si>
  <si>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</si>
  <si>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</si>
  <si>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</si>
  <si>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</si>
  <si>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</si>
  <si>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</si>
  <si>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</si>
  <si>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</si>
  <si>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</si>
  <si>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</si>
  <si>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</si>
  <si>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</si>
  <si>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</si>
  <si>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</si>
  <si>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</si>
  <si>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</si>
  <si>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</si>
  <si>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</si>
  <si>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</si>
  <si>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</si>
  <si>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</si>
  <si>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</si>
  <si>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</si>
  <si>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</si>
  <si>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</si>
  <si>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</si>
  <si>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</si>
  <si>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</si>
  <si>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</si>
  <si>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</si>
  <si>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</si>
  <si>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</si>
  <si>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</si>
  <si>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</si>
  <si>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</si>
  <si>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</si>
  <si>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</si>
  <si>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CAMPOS PINO FRANCISCO JAVIER</t>
  </si>
  <si>
    <t>MELLA ISLA SEBASTIAN</t>
  </si>
  <si>
    <t xml:space="preserve">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</si>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</sst>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20" sqref="F2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6.6</v>
      </c>
      <c r="D4" s="6">
        <f>$C$35</f>
        <v>7</v>
      </c>
      <c r="E4" s="43">
        <f>C4*C$2+D4*D$2</f>
        <v>6.6999999999999993</v>
      </c>
      <c r="G4" s="1"/>
    </row>
    <row r="5" spans="1:11" ht="14.4" x14ac:dyDescent="0.3">
      <c r="A5" s="5">
        <v>2</v>
      </c>
      <c r="B5" s="32" t="s">
        <v>97</v>
      </c>
      <c r="C5" s="6">
        <f>EVALUACION1!$C$24</f>
        <v>6.6</v>
      </c>
      <c r="D5" s="6">
        <f>C47</f>
        <v>7</v>
      </c>
      <c r="E5" s="43">
        <f t="shared" ref="E5" si="0">C5*C$2+D5*D$2</f>
        <v>6.6999999999999993</v>
      </c>
      <c r="G5" s="1"/>
    </row>
    <row r="6" spans="1:11" ht="14.4" x14ac:dyDescent="0.3">
      <c r="A6" s="5">
        <v>3</v>
      </c>
      <c r="B6" s="32"/>
      <c r="C6" s="6"/>
      <c r="D6" s="6"/>
      <c r="E6" s="43"/>
      <c r="G6" s="1"/>
    </row>
    <row r="11" spans="1:11" ht="18" outlineLevel="1" x14ac:dyDescent="0.3">
      <c r="A11" s="64" t="s">
        <v>3</v>
      </c>
      <c r="B11" s="14"/>
      <c r="C11" s="57" t="s">
        <v>4</v>
      </c>
      <c r="D11" s="58" t="s">
        <v>5</v>
      </c>
      <c r="E11" s="59"/>
      <c r="F11" s="59"/>
      <c r="G11" s="59"/>
      <c r="H11" s="59"/>
      <c r="I11" s="59"/>
      <c r="J11" s="59"/>
      <c r="K11" s="60"/>
    </row>
    <row r="12" spans="1:11" ht="14.4" outlineLevel="1" x14ac:dyDescent="0.3">
      <c r="A12" s="62"/>
      <c r="B12" s="24" t="s">
        <v>6</v>
      </c>
      <c r="C12" s="50"/>
      <c r="D12" s="58" t="s">
        <v>7</v>
      </c>
      <c r="E12" s="60"/>
      <c r="F12" s="58" t="s">
        <v>8</v>
      </c>
      <c r="G12" s="60"/>
      <c r="H12" s="58" t="s">
        <v>9</v>
      </c>
      <c r="I12" s="60"/>
      <c r="J12" s="58" t="s">
        <v>10</v>
      </c>
      <c r="K12" s="60"/>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4"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t="s">
        <v>99</v>
      </c>
      <c r="E15" s="16">
        <f t="shared" ref="E15:E21" si="8">IF(D15="X",100*0.05,"")</f>
        <v>5</v>
      </c>
      <c r="F15" s="16"/>
      <c r="G15" s="16" t="str">
        <f t="shared" ref="G15:G21" si="9">IF(F15="X",60*0.05,"")</f>
        <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t="s">
        <v>99</v>
      </c>
      <c r="E16" s="16">
        <f>IF(D16="X",100*0.05,"")</f>
        <v>5</v>
      </c>
      <c r="F16" s="16"/>
      <c r="G16" s="16" t="str">
        <f>IF(F16="X",60*0.05,"")</f>
        <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17">IF(D18="X",100*0.1,"")</f>
        <v>10</v>
      </c>
      <c r="F18" s="16"/>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c r="E19" s="16" t="str">
        <f>IF(D19="X",100*0.05,"")</f>
        <v/>
      </c>
      <c r="F19" s="16" t="s">
        <v>95</v>
      </c>
      <c r="G19" s="16">
        <f t="shared" ref="G19" si="20">IF(F19="X",60*0.05,"")</f>
        <v>3</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98</v>
      </c>
      <c r="E20" s="16" t="str">
        <f>IF(D20="X",100*0.05,"")</f>
        <v/>
      </c>
      <c r="F20" s="16" t="s">
        <v>95</v>
      </c>
      <c r="G20" s="16">
        <f t="shared" si="9"/>
        <v>3</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t="str">
        <f t="shared" ref="F21" si="22">IF($C21=L,"X","")</f>
        <v/>
      </c>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2"/>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35">
      <c r="A24" s="50"/>
      <c r="B24" s="36" t="s">
        <v>12</v>
      </c>
      <c r="C24" s="20">
        <f>VLOOKUP(C23,ESCALA_IEP!A2:B142,2,FALSE)</f>
        <v>6.6</v>
      </c>
    </row>
    <row r="25" spans="1:11" ht="15.75" customHeight="1" x14ac:dyDescent="0.3"/>
    <row r="26" spans="1:11" ht="15.75" customHeight="1" x14ac:dyDescent="0.3"/>
    <row r="27" spans="1:11" ht="15.75" customHeight="1" x14ac:dyDescent="0.3">
      <c r="A27" s="61" t="s">
        <v>13</v>
      </c>
      <c r="B27" s="49" t="s">
        <v>14</v>
      </c>
      <c r="C27" s="51" t="str">
        <f>$B$4</f>
        <v>CAMPOS PINO FRANCISCO JAVIER</v>
      </c>
      <c r="D27" s="52"/>
      <c r="E27" s="52"/>
      <c r="F27" s="52"/>
      <c r="G27" s="52"/>
      <c r="H27" s="52"/>
      <c r="I27" s="52"/>
      <c r="J27" s="52"/>
      <c r="K27" s="53"/>
    </row>
    <row r="28" spans="1:11" ht="15.75" customHeight="1" x14ac:dyDescent="0.3">
      <c r="A28" s="62"/>
      <c r="B28" s="50"/>
      <c r="C28" s="54"/>
      <c r="D28" s="55"/>
      <c r="E28" s="55"/>
      <c r="F28" s="55"/>
      <c r="G28" s="55"/>
      <c r="H28" s="55"/>
      <c r="I28" s="55"/>
      <c r="J28" s="55"/>
      <c r="K28" s="56"/>
    </row>
    <row r="29" spans="1:11" ht="15.75" customHeight="1" x14ac:dyDescent="0.3">
      <c r="A29" s="62"/>
      <c r="B29" s="14" t="s">
        <v>15</v>
      </c>
      <c r="C29" s="57" t="s">
        <v>4</v>
      </c>
      <c r="D29" s="58" t="s">
        <v>5</v>
      </c>
      <c r="E29" s="59"/>
      <c r="F29" s="59"/>
      <c r="G29" s="59"/>
      <c r="H29" s="59"/>
      <c r="I29" s="59"/>
      <c r="J29" s="59"/>
      <c r="K29" s="60"/>
    </row>
    <row r="30" spans="1:11" ht="15.75" customHeight="1" x14ac:dyDescent="0.3">
      <c r="A30" s="62"/>
      <c r="B30" s="15" t="s">
        <v>6</v>
      </c>
      <c r="C30" s="50"/>
      <c r="D30" s="58" t="s">
        <v>7</v>
      </c>
      <c r="E30" s="60"/>
      <c r="F30" s="58" t="s">
        <v>8</v>
      </c>
      <c r="G30" s="60"/>
      <c r="H30" s="58" t="s">
        <v>16</v>
      </c>
      <c r="I30" s="60"/>
      <c r="J30" s="58" t="s">
        <v>10</v>
      </c>
      <c r="K30" s="60"/>
    </row>
    <row r="31" spans="1:11" ht="24.6" customHeight="1" x14ac:dyDescent="0.3">
      <c r="A31" s="62"/>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2"/>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ht="14.4" x14ac:dyDescent="0.3">
      <c r="A33" s="62"/>
      <c r="B33" s="35" t="str">
        <f>RUBRICA!A17</f>
        <v>13. Colaboración y trabajo en equipo *</v>
      </c>
      <c r="C33" s="33" t="s">
        <v>7</v>
      </c>
      <c r="D33" s="16" t="s">
        <v>95</v>
      </c>
      <c r="E33" s="16">
        <f>IF(D33="X",100*0.1,"")</f>
        <v>10</v>
      </c>
      <c r="F33" s="16"/>
      <c r="G33" s="16" t="str">
        <f>IF(F33="X",60*0.1,"")</f>
        <v/>
      </c>
      <c r="H33" s="16" t="str">
        <f>IF($C33=ML,"X","")</f>
        <v/>
      </c>
      <c r="I33" s="16" t="str">
        <f>IF(H33="X",30*0.1,"")</f>
        <v/>
      </c>
      <c r="J33" s="16" t="str">
        <f>IF($C33=NL,"X","")</f>
        <v/>
      </c>
      <c r="K33" s="16" t="str">
        <f>IF($J33="X",0,"")</f>
        <v/>
      </c>
    </row>
    <row r="34" spans="1:11" ht="15.75" customHeight="1" x14ac:dyDescent="0.35">
      <c r="A34" s="62"/>
      <c r="B34" s="21" t="s">
        <v>17</v>
      </c>
      <c r="C34" s="18">
        <f>E34+G34+I34+K34</f>
        <v>30</v>
      </c>
      <c r="D34" s="19"/>
      <c r="E34" s="19">
        <f>SUM(E31:E33)</f>
        <v>30</v>
      </c>
      <c r="F34" s="19"/>
      <c r="G34" s="19">
        <f t="shared" ref="G34:K34" si="28">SUM(G31:G33)</f>
        <v>0</v>
      </c>
      <c r="H34" s="19"/>
      <c r="I34" s="19">
        <f t="shared" si="28"/>
        <v>0</v>
      </c>
      <c r="J34" s="19"/>
      <c r="K34" s="19">
        <f t="shared" si="28"/>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1" t="s">
        <v>13</v>
      </c>
      <c r="B39" s="49" t="s">
        <v>14</v>
      </c>
      <c r="C39" s="51" t="str">
        <f>B5</f>
        <v>MELLA ISLA SEBASTIAN</v>
      </c>
      <c r="D39" s="52"/>
      <c r="E39" s="52"/>
      <c r="F39" s="52"/>
      <c r="G39" s="52"/>
      <c r="H39" s="52"/>
      <c r="I39" s="52"/>
      <c r="J39" s="52"/>
      <c r="K39" s="53"/>
    </row>
    <row r="40" spans="1:11" ht="15.75" customHeight="1" x14ac:dyDescent="0.3">
      <c r="A40" s="62"/>
      <c r="B40" s="50"/>
      <c r="C40" s="54"/>
      <c r="D40" s="55"/>
      <c r="E40" s="55"/>
      <c r="F40" s="55"/>
      <c r="G40" s="55"/>
      <c r="H40" s="55"/>
      <c r="I40" s="55"/>
      <c r="J40" s="55"/>
      <c r="K40" s="56"/>
    </row>
    <row r="41" spans="1:11" ht="15.75" customHeight="1" x14ac:dyDescent="0.3">
      <c r="A41" s="62"/>
      <c r="B41" s="14" t="s">
        <v>15</v>
      </c>
      <c r="C41" s="57" t="s">
        <v>4</v>
      </c>
      <c r="D41" s="58" t="s">
        <v>5</v>
      </c>
      <c r="E41" s="59"/>
      <c r="F41" s="59"/>
      <c r="G41" s="59"/>
      <c r="H41" s="59"/>
      <c r="I41" s="59"/>
      <c r="J41" s="59"/>
      <c r="K41" s="60"/>
    </row>
    <row r="42" spans="1:11" ht="15.75" customHeight="1" x14ac:dyDescent="0.3">
      <c r="A42" s="62"/>
      <c r="B42" s="15" t="s">
        <v>6</v>
      </c>
      <c r="C42" s="50"/>
      <c r="D42" s="58" t="s">
        <v>7</v>
      </c>
      <c r="E42" s="60"/>
      <c r="F42" s="58" t="s">
        <v>8</v>
      </c>
      <c r="G42" s="60"/>
      <c r="H42" s="58" t="s">
        <v>16</v>
      </c>
      <c r="I42" s="60"/>
      <c r="J42" s="58" t="s">
        <v>10</v>
      </c>
      <c r="K42" s="60"/>
    </row>
    <row r="43" spans="1:11" ht="25.95" customHeight="1" x14ac:dyDescent="0.3">
      <c r="A43" s="62"/>
      <c r="B43" s="35" t="str">
        <f>RUBRICA!A7</f>
        <v>3. Relaciona el Proyecto APT con sus intereses profesionales. *</v>
      </c>
      <c r="C43" s="33" t="s">
        <v>7</v>
      </c>
      <c r="D43" s="16" t="str">
        <f t="shared" ref="D43" si="29">IF($C43=CL,"X","")</f>
        <v>X</v>
      </c>
      <c r="E43" s="16">
        <f>IF(D43="X",100*0.1,"")</f>
        <v>10</v>
      </c>
      <c r="F43" s="16" t="str">
        <f t="shared" ref="F43"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3">
      <c r="A44" s="62"/>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1"/>
        <v/>
      </c>
      <c r="I44" s="16" t="str">
        <f>IF(H44="X",30*0.1,"")</f>
        <v/>
      </c>
      <c r="J44" s="16" t="str">
        <f t="shared" si="32"/>
        <v/>
      </c>
      <c r="K44" s="16" t="str">
        <f t="shared" si="33"/>
        <v/>
      </c>
    </row>
    <row r="45" spans="1:11" ht="15.75" customHeight="1" x14ac:dyDescent="0.3">
      <c r="A45" s="62"/>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5">
      <c r="A46" s="62"/>
      <c r="B46" s="21" t="s">
        <v>17</v>
      </c>
      <c r="C46" s="18">
        <f>E46+G46+I46+K46</f>
        <v>30</v>
      </c>
      <c r="D46" s="19"/>
      <c r="E46" s="19">
        <f>SUM(E43:E45)</f>
        <v>30</v>
      </c>
      <c r="F46" s="19"/>
      <c r="G46" s="19">
        <f t="shared" ref="G46" si="34">SUM(G43:G45)</f>
        <v>0</v>
      </c>
      <c r="H46" s="19"/>
      <c r="I46" s="19">
        <f t="shared" ref="I46" si="35">SUM(I43:I45)</f>
        <v>0</v>
      </c>
      <c r="J46" s="19"/>
      <c r="K46" s="19">
        <f t="shared" ref="K46" si="36">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1" t="s">
        <v>13</v>
      </c>
      <c r="B50" s="49" t="s">
        <v>14</v>
      </c>
      <c r="C50" s="51">
        <f>B6</f>
        <v>0</v>
      </c>
      <c r="D50" s="52"/>
      <c r="E50" s="52"/>
      <c r="F50" s="52"/>
      <c r="G50" s="52"/>
      <c r="H50" s="52"/>
      <c r="I50" s="52"/>
      <c r="J50" s="52"/>
      <c r="K50" s="53"/>
    </row>
    <row r="51" spans="1:11" ht="15.75" customHeight="1" x14ac:dyDescent="0.3">
      <c r="A51" s="62"/>
      <c r="B51" s="50"/>
      <c r="C51" s="54"/>
      <c r="D51" s="55"/>
      <c r="E51" s="55"/>
      <c r="F51" s="55"/>
      <c r="G51" s="55"/>
      <c r="H51" s="55"/>
      <c r="I51" s="55"/>
      <c r="J51" s="55"/>
      <c r="K51" s="56"/>
    </row>
    <row r="52" spans="1:11" ht="15.75" customHeight="1" x14ac:dyDescent="0.3">
      <c r="A52" s="62"/>
      <c r="B52" s="14" t="s">
        <v>15</v>
      </c>
      <c r="C52" s="57" t="s">
        <v>4</v>
      </c>
      <c r="D52" s="58" t="s">
        <v>5</v>
      </c>
      <c r="E52" s="59"/>
      <c r="F52" s="59"/>
      <c r="G52" s="59"/>
      <c r="H52" s="59"/>
      <c r="I52" s="59"/>
      <c r="J52" s="59"/>
      <c r="K52" s="60"/>
    </row>
    <row r="53" spans="1:11" ht="15.75" customHeight="1" x14ac:dyDescent="0.3">
      <c r="A53" s="62"/>
      <c r="B53" s="15" t="s">
        <v>6</v>
      </c>
      <c r="C53" s="50"/>
      <c r="D53" s="58" t="s">
        <v>7</v>
      </c>
      <c r="E53" s="60"/>
      <c r="F53" s="58" t="s">
        <v>8</v>
      </c>
      <c r="G53" s="60"/>
      <c r="H53" s="58" t="s">
        <v>16</v>
      </c>
      <c r="I53" s="60"/>
      <c r="J53" s="58" t="s">
        <v>10</v>
      </c>
      <c r="K53" s="60"/>
    </row>
    <row r="54" spans="1:11" ht="25.95" customHeight="1" x14ac:dyDescent="0.3">
      <c r="A54" s="62"/>
      <c r="B54" s="35" t="str">
        <f>RUBRICA!A7</f>
        <v>3. Relaciona el Proyecto APT con sus intereses profesionales. *</v>
      </c>
      <c r="C54" s="33" t="s">
        <v>7</v>
      </c>
      <c r="D54" s="16"/>
      <c r="E54" s="16" t="str">
        <f>IF(D54="X",100*0.1,"")</f>
        <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3">
      <c r="A55" s="62"/>
      <c r="B55" s="35" t="str">
        <f>RUBRICA!A15</f>
        <v>11. Expone el tema utilizando un lenguaje técnico disciplinar al presentar la propuesta y responde evidenciando un manejo de la información. *</v>
      </c>
      <c r="C55" s="33" t="s">
        <v>7</v>
      </c>
      <c r="D55" s="16"/>
      <c r="E55" s="16" t="str">
        <f>IF(D55="X",100*0.1,"")</f>
        <v/>
      </c>
      <c r="F55" s="16" t="str">
        <f t="shared" si="37"/>
        <v/>
      </c>
      <c r="G55" s="16" t="str">
        <f>IF(F55="X",60*0.1,"")</f>
        <v/>
      </c>
      <c r="H55" s="16" t="str">
        <f t="shared" si="38"/>
        <v/>
      </c>
      <c r="I55" s="16" t="str">
        <f>IF(H55="X",30*0.1,"")</f>
        <v/>
      </c>
      <c r="J55" s="16" t="str">
        <f t="shared" si="39"/>
        <v/>
      </c>
      <c r="K55" s="16" t="str">
        <f t="shared" si="40"/>
        <v/>
      </c>
    </row>
    <row r="56" spans="1:11" ht="15.75" customHeight="1" x14ac:dyDescent="0.3">
      <c r="A56" s="62"/>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2"/>
      <c r="B57" s="21" t="s">
        <v>17</v>
      </c>
      <c r="C57" s="18">
        <f>E57+G57+I57+K57</f>
        <v>0</v>
      </c>
      <c r="D57" s="19">
        <f>COUNTIF(D55:D56,"X")</f>
        <v>0</v>
      </c>
      <c r="E57" s="19">
        <f>SUM(E54:E56)</f>
        <v>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2025-11-18T18:17:06Z</dcterms:modified>
  <cp:category/>
  <cp:contentStatus/>
</cp:coreProperties>
</file>